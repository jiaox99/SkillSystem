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240" yWindow="105" windowWidth="14805" windowHeight="8010"/>
  </bookViews>
  <sheets>
    <sheet name="skill" sheetId="1" r:id="rId1"/>
    <sheet name="Sheet2" sheetId="7" r:id="rId2"/>
    <sheet name="SkillGrowth" sheetId="6" r:id="rId3"/>
    <sheet name="SkillEffectPattern" sheetId="2" r:id="rId4"/>
    <sheet name="FireBulletPattern" sheetId="4" r:id="rId5"/>
    <sheet name="BuffPattern" sheetId="3" r:id="rId6"/>
    <sheet name="BulletID" sheetId="5" r:id="rId7"/>
  </sheets>
  <functionGroups builtInGroupCount="18"/>
  <calcPr calcId="162913" concurrentCalc="0"/>
</workbook>
</file>

<file path=xl/calcChain.xml><?xml version="1.0" encoding="utf-8"?>
<calcChain xmlns="http://schemas.openxmlformats.org/spreadsheetml/2006/main">
  <c r="L8" i="1" l="1"/>
  <c r="L7" i="1"/>
  <c r="B1" i="7"/>
  <c r="A1" i="7"/>
  <c r="A2" i="7"/>
</calcChain>
</file>

<file path=xl/comments1.xml><?xml version="1.0" encoding="utf-8"?>
<comments xmlns="http://schemas.openxmlformats.org/spreadsheetml/2006/main">
  <authors>
    <author>作者</author>
  </authors>
  <commentList>
    <comment ref="D2" authorId="0" shape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宋体"/>
            <family val="3"/>
            <charset val="134"/>
          </rPr>
          <t xml:space="preserve">：只要放置就发动
</t>
        </r>
        <r>
          <rPr>
            <sz val="9"/>
            <color indexed="81"/>
            <rFont val="Tahoma"/>
            <family val="2"/>
          </rPr>
          <t>2</t>
        </r>
        <r>
          <rPr>
            <sz val="9"/>
            <color indexed="81"/>
            <rFont val="宋体"/>
            <family val="3"/>
            <charset val="134"/>
          </rPr>
          <t xml:space="preserve">：随攻击附带
</t>
        </r>
        <r>
          <rPr>
            <sz val="9"/>
            <color indexed="81"/>
            <rFont val="Tahoma"/>
            <family val="2"/>
          </rPr>
          <t>3</t>
        </r>
        <r>
          <rPr>
            <sz val="9"/>
            <color indexed="81"/>
            <rFont val="宋体"/>
            <family val="3"/>
            <charset val="134"/>
          </rPr>
          <t xml:space="preserve">：时间内没有进行攻击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宋体"/>
            <family val="3"/>
            <charset val="134"/>
          </rPr>
          <t>：死亡后发动</t>
        </r>
      </text>
    </comment>
    <comment ref="G2" authorId="0" shape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2</t>
        </r>
        <r>
          <rPr>
            <sz val="9"/>
            <color indexed="81"/>
            <rFont val="宋体"/>
            <family val="3"/>
            <charset val="134"/>
          </rPr>
          <t>进制，</t>
        </r>
        <r>
          <rPr>
            <sz val="9"/>
            <color indexed="81"/>
            <rFont val="Tahoma"/>
            <family val="2"/>
          </rPr>
          <t>0</t>
        </r>
        <r>
          <rPr>
            <sz val="9"/>
            <color indexed="81"/>
            <rFont val="宋体"/>
            <family val="3"/>
            <charset val="134"/>
          </rPr>
          <t>代表没有
个位：自己
十位：友方
百位：敌方
千位：地面
万位：空中
十万位：建筑</t>
        </r>
      </text>
    </comment>
    <comment ref="H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会直接调用技能类型</t>
        </r>
      </text>
    </comment>
    <comment ref="I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第一次发动这个技能所需的时间</t>
        </r>
      </text>
    </comment>
    <comment ref="J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两次技能间的间隔时间</t>
        </r>
      </text>
    </comment>
    <comment ref="K2" authorId="0" shape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宋体"/>
            <family val="3"/>
            <charset val="134"/>
          </rPr>
          <t xml:space="preserve">；点到点
</t>
        </r>
        <r>
          <rPr>
            <sz val="9"/>
            <color indexed="81"/>
            <rFont val="Tahoma"/>
            <family val="2"/>
          </rPr>
          <t>2</t>
        </r>
        <r>
          <rPr>
            <sz val="9"/>
            <color indexed="81"/>
            <rFont val="宋体"/>
            <family val="3"/>
            <charset val="134"/>
          </rPr>
          <t xml:space="preserve">：圆形
</t>
        </r>
        <r>
          <rPr>
            <sz val="9"/>
            <color indexed="81"/>
            <rFont val="Tahoma"/>
            <family val="2"/>
          </rPr>
          <t>3</t>
        </r>
        <r>
          <rPr>
            <sz val="9"/>
            <color indexed="81"/>
            <rFont val="宋体"/>
            <family val="3"/>
            <charset val="134"/>
          </rPr>
          <t xml:space="preserve">：扇形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宋体"/>
            <family val="3"/>
            <charset val="134"/>
          </rPr>
          <t xml:space="preserve">：矩形
</t>
        </r>
        <r>
          <rPr>
            <sz val="9"/>
            <color indexed="81"/>
            <rFont val="Tahoma"/>
            <family val="2"/>
          </rPr>
          <t>5</t>
        </r>
        <r>
          <rPr>
            <sz val="9"/>
            <color indexed="81"/>
            <rFont val="宋体"/>
            <family val="3"/>
            <charset val="134"/>
          </rPr>
          <t>：点到范围</t>
        </r>
      </text>
    </comment>
    <comment ref="M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根据</t>
        </r>
        <r>
          <rPr>
            <sz val="9"/>
            <color indexed="81"/>
            <rFont val="Tahoma"/>
            <family val="2"/>
          </rPr>
          <t>areatype</t>
        </r>
        <r>
          <rPr>
            <sz val="9"/>
            <color indexed="81"/>
            <rFont val="宋体"/>
            <family val="3"/>
            <charset val="134"/>
          </rPr>
          <t>字段填对应的数据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A7" authorId="0" shapeId="0">
      <text>
        <r>
          <rPr>
            <sz val="9"/>
            <color indexed="81"/>
            <rFont val="宋体"/>
            <family val="3"/>
            <charset val="134"/>
          </rPr>
          <t>直接伤害的数值</t>
        </r>
      </text>
    </comment>
    <comment ref="B7" authorId="0" shapeId="0">
      <text>
        <r>
          <rPr>
            <sz val="9"/>
            <color indexed="81"/>
            <rFont val="宋体"/>
            <family val="3"/>
            <charset val="134"/>
          </rPr>
          <t>直接伤害的数值</t>
        </r>
      </text>
    </comment>
    <comment ref="A8" authorId="0" shapeId="0">
      <text>
        <r>
          <rPr>
            <sz val="9"/>
            <color indexed="81"/>
            <rFont val="宋体"/>
            <family val="3"/>
            <charset val="134"/>
          </rPr>
          <t>子弹数量</t>
        </r>
      </text>
    </comment>
    <comment ref="B8" authorId="0" shapeId="0">
      <text>
        <r>
          <rPr>
            <sz val="9"/>
            <color indexed="81"/>
            <rFont val="宋体"/>
            <family val="3"/>
            <charset val="134"/>
          </rPr>
          <t>子弹数量</t>
        </r>
      </text>
    </comment>
    <comment ref="A30" authorId="0" shapeId="0">
      <text>
        <r>
          <rPr>
            <sz val="9"/>
            <color indexed="81"/>
            <rFont val="宋体"/>
            <family val="3"/>
            <charset val="134"/>
          </rPr>
          <t>直接伤害的数值</t>
        </r>
      </text>
    </comment>
    <comment ref="A31" authorId="0" shapeId="0">
      <text>
        <r>
          <rPr>
            <sz val="9"/>
            <color indexed="81"/>
            <rFont val="宋体"/>
            <family val="3"/>
            <charset val="134"/>
          </rPr>
          <t>直接伤害的数值</t>
        </r>
      </text>
    </comment>
    <comment ref="B31" authorId="0" shapeId="0">
      <text>
        <r>
          <rPr>
            <sz val="9"/>
            <color indexed="81"/>
            <rFont val="宋体"/>
            <family val="3"/>
            <charset val="134"/>
          </rPr>
          <t>直接伤害的数值</t>
        </r>
      </text>
    </comment>
    <comment ref="C31" authorId="0" shapeId="0">
      <text>
        <r>
          <rPr>
            <sz val="9"/>
            <color indexed="81"/>
            <rFont val="宋体"/>
            <family val="3"/>
            <charset val="134"/>
          </rPr>
          <t>子弹数量</t>
        </r>
      </text>
    </comment>
  </commentList>
</comments>
</file>

<file path=xl/sharedStrings.xml><?xml version="1.0" encoding="utf-8"?>
<sst xmlns="http://schemas.openxmlformats.org/spreadsheetml/2006/main" count="192" uniqueCount="122">
  <si>
    <t>int</t>
    <phoneticPr fontId="2" type="noConversion"/>
  </si>
  <si>
    <t>技能ID</t>
    <phoneticPr fontId="2" type="noConversion"/>
  </si>
  <si>
    <t>attack</t>
    <phoneticPr fontId="2" type="noConversion"/>
  </si>
  <si>
    <t>float</t>
    <phoneticPr fontId="2" type="noConversion"/>
  </si>
  <si>
    <t>shake_before</t>
    <phoneticPr fontId="2" type="noConversion"/>
  </si>
  <si>
    <t>速度(临时放在这个表里)</t>
    <phoneticPr fontId="2" type="noConversion"/>
  </si>
  <si>
    <t>speed</t>
    <phoneticPr fontId="2" type="noConversion"/>
  </si>
  <si>
    <t>float</t>
    <phoneticPr fontId="2" type="noConversion"/>
  </si>
  <si>
    <t>技能范围</t>
    <phoneticPr fontId="2" type="noConversion"/>
  </si>
  <si>
    <t>skill_range</t>
    <phoneticPr fontId="2" type="noConversion"/>
  </si>
  <si>
    <t>前摇时间(目前不支持)</t>
    <phoneticPr fontId="2" type="noConversion"/>
  </si>
  <si>
    <t>int</t>
    <phoneticPr fontId="2" type="noConversion"/>
  </si>
  <si>
    <t>子弹ID</t>
    <phoneticPr fontId="2" type="noConversion"/>
  </si>
  <si>
    <t>bullet_id</t>
    <phoneticPr fontId="2" type="noConversion"/>
  </si>
  <si>
    <t>skill_id</t>
    <phoneticPr fontId="2" type="noConversion"/>
  </si>
  <si>
    <t>寒冰箭</t>
    <phoneticPr fontId="3" type="noConversion"/>
  </si>
  <si>
    <t>冲锋</t>
    <phoneticPr fontId="3" type="noConversion"/>
  </si>
  <si>
    <t>隐形</t>
    <phoneticPr fontId="3" type="noConversion"/>
  </si>
  <si>
    <t>死亡自爆</t>
    <phoneticPr fontId="3" type="noConversion"/>
  </si>
  <si>
    <t>嗜血光环</t>
    <phoneticPr fontId="3" type="noConversion"/>
  </si>
  <si>
    <t>空投仓</t>
    <phoneticPr fontId="3" type="noConversion"/>
  </si>
  <si>
    <t>陨石撞击</t>
    <phoneticPr fontId="3" type="noConversion"/>
  </si>
  <si>
    <t>失重术</t>
    <phoneticPr fontId="3" type="noConversion"/>
  </si>
  <si>
    <t>int</t>
    <phoneticPr fontId="2" type="noConversion"/>
  </si>
  <si>
    <t>发动条件</t>
    <phoneticPr fontId="3" type="noConversion"/>
  </si>
  <si>
    <t>condition</t>
    <phoneticPr fontId="2" type="noConversion"/>
  </si>
  <si>
    <t>Normal</t>
    <phoneticPr fontId="2" type="noConversion"/>
  </si>
  <si>
    <t>int</t>
    <phoneticPr fontId="2" type="noConversion"/>
  </si>
  <si>
    <t>发动条件参数</t>
    <phoneticPr fontId="2" type="noConversion"/>
  </si>
  <si>
    <t>parameter</t>
    <phoneticPr fontId="2" type="noConversion"/>
  </si>
  <si>
    <t>effect_id</t>
    <phoneticPr fontId="2" type="noConversion"/>
  </si>
  <si>
    <t>fcd</t>
    <phoneticPr fontId="3" type="noConversion"/>
  </si>
  <si>
    <t>float</t>
    <phoneticPr fontId="2" type="noConversion"/>
  </si>
  <si>
    <t>cd</t>
    <phoneticPr fontId="2" type="noConversion"/>
  </si>
  <si>
    <t>area</t>
    <phoneticPr fontId="3" type="noConversion"/>
  </si>
  <si>
    <t>使目标攻击和移动速度下降50%，持续1秒</t>
    <phoneticPr fontId="3" type="noConversion"/>
  </si>
  <si>
    <t>脱离攻击3秒后发动，移动速度和攻击力翻倍，攻击一次后失效</t>
    <phoneticPr fontId="3" type="noConversion"/>
  </si>
  <si>
    <t>不会成为其他单位的攻击目标，攻击一次后失效</t>
    <phoneticPr fontId="3" type="noConversion"/>
  </si>
  <si>
    <t>范围内的所有友方包括自己单位获得攻击速度和移动速度加成35%，死亡后光环效果消失</t>
    <phoneticPr fontId="3" type="noConversion"/>
  </si>
  <si>
    <t>指定位置召唤4个单位</t>
    <phoneticPr fontId="3" type="noConversion"/>
  </si>
  <si>
    <t>范围伤害</t>
    <phoneticPr fontId="3" type="noConversion"/>
  </si>
  <si>
    <t>5秒内范围内敌方单位不能行动</t>
    <phoneticPr fontId="3" type="noConversion"/>
  </si>
  <si>
    <t>技能类型</t>
    <phoneticPr fontId="3" type="noConversion"/>
  </si>
  <si>
    <t>前置cd</t>
    <phoneticPr fontId="3" type="noConversion"/>
  </si>
  <si>
    <t>技能cd</t>
    <phoneticPr fontId="3" type="noConversion"/>
  </si>
  <si>
    <t>范围类型</t>
    <phoneticPr fontId="3" type="noConversion"/>
  </si>
  <si>
    <t>areatype</t>
    <phoneticPr fontId="3" type="noConversion"/>
  </si>
  <si>
    <t>影响范围</t>
    <phoneticPr fontId="3" type="noConversion"/>
  </si>
  <si>
    <t>EF_Yunshi_baozha</t>
    <phoneticPr fontId="2" type="noConversion"/>
  </si>
  <si>
    <t>string</t>
    <phoneticPr fontId="3" type="noConversion"/>
  </si>
  <si>
    <t>string</t>
    <phoneticPr fontId="2" type="noConversion"/>
  </si>
  <si>
    <t>技能名称</t>
    <phoneticPr fontId="3" type="noConversion"/>
  </si>
  <si>
    <t>技能类型(客户端)</t>
    <phoneticPr fontId="2" type="noConversion"/>
  </si>
  <si>
    <t>作用目标</t>
    <phoneticPr fontId="2" type="noConversion"/>
  </si>
  <si>
    <t>技能说明</t>
    <phoneticPr fontId="3" type="noConversion"/>
  </si>
  <si>
    <t>动画名称</t>
    <phoneticPr fontId="2" type="noConversion"/>
  </si>
  <si>
    <t>name</t>
    <phoneticPr fontId="3" type="noConversion"/>
  </si>
  <si>
    <t>skill_type</t>
    <phoneticPr fontId="2" type="noConversion"/>
  </si>
  <si>
    <t>target</t>
    <phoneticPr fontId="2" type="noConversion"/>
  </si>
  <si>
    <t>skill_des</t>
    <phoneticPr fontId="3" type="noConversion"/>
  </si>
  <si>
    <t>anim_name</t>
    <phoneticPr fontId="2" type="noConversion"/>
  </si>
  <si>
    <t>普通攻击</t>
    <phoneticPr fontId="3" type="noConversion"/>
  </si>
  <si>
    <t>Normal</t>
    <phoneticPr fontId="2" type="noConversion"/>
  </si>
  <si>
    <t>test</t>
    <phoneticPr fontId="3" type="noConversion"/>
  </si>
  <si>
    <t>attack</t>
    <phoneticPr fontId="2" type="noConversion"/>
  </si>
  <si>
    <t>普通范围攻击</t>
    <phoneticPr fontId="3" type="noConversion"/>
  </si>
  <si>
    <t>Normal_Circle</t>
    <phoneticPr fontId="2" type="noConversion"/>
  </si>
  <si>
    <t>test</t>
    <phoneticPr fontId="3" type="noConversion"/>
  </si>
  <si>
    <t>attack</t>
    <phoneticPr fontId="2" type="noConversion"/>
  </si>
  <si>
    <t>远程普通攻击</t>
    <phoneticPr fontId="3" type="noConversion"/>
  </si>
  <si>
    <t>Bullet_Single</t>
    <phoneticPr fontId="2" type="noConversion"/>
  </si>
  <si>
    <t>远程范围攻击</t>
    <phoneticPr fontId="3" type="noConversion"/>
  </si>
  <si>
    <t>Bullet_Circle</t>
    <phoneticPr fontId="2" type="noConversion"/>
  </si>
  <si>
    <t>小火球</t>
    <phoneticPr fontId="3" type="noConversion"/>
  </si>
  <si>
    <t>注释</t>
    <phoneticPr fontId="2" type="noConversion"/>
  </si>
  <si>
    <t>弓箭手弓箭</t>
    <phoneticPr fontId="2" type="noConversion"/>
  </si>
  <si>
    <t>死亡后造成1000点范围伤害</t>
    <phoneticPr fontId="3" type="noConversion"/>
  </si>
  <si>
    <t>基地普通攻击</t>
    <phoneticPr fontId="2" type="noConversion"/>
  </si>
  <si>
    <t>小火龙</t>
    <phoneticPr fontId="2" type="noConversion"/>
  </si>
  <si>
    <t>火炮手</t>
    <phoneticPr fontId="2" type="noConversion"/>
  </si>
  <si>
    <t>DirectDamage</t>
    <phoneticPr fontId="2" type="noConversion"/>
  </si>
  <si>
    <t>des</t>
    <phoneticPr fontId="2" type="noConversion"/>
  </si>
  <si>
    <t>string</t>
    <phoneticPr fontId="2" type="noConversion"/>
  </si>
  <si>
    <t>param</t>
    <phoneticPr fontId="2" type="noConversion"/>
  </si>
  <si>
    <t>参数</t>
    <phoneticPr fontId="2" type="noConversion"/>
  </si>
  <si>
    <t>BaseAttack</t>
    <phoneticPr fontId="2" type="noConversion"/>
  </si>
  <si>
    <t>基础攻击</t>
    <phoneticPr fontId="2" type="noConversion"/>
  </si>
  <si>
    <t>effect</t>
    <phoneticPr fontId="2" type="noConversion"/>
  </si>
  <si>
    <t>技能效果</t>
    <phoneticPr fontId="2" type="noConversion"/>
  </si>
  <si>
    <t>FireBullet</t>
    <phoneticPr fontId="2" type="noConversion"/>
  </si>
  <si>
    <t>发射子弹 模式;ID;数量</t>
    <phoneticPr fontId="2" type="noConversion"/>
  </si>
  <si>
    <t>直接造成给定数值的伤害 伤害值</t>
    <phoneticPr fontId="2" type="noConversion"/>
  </si>
  <si>
    <t>AddBuff</t>
    <phoneticPr fontId="2" type="noConversion"/>
  </si>
  <si>
    <t>id</t>
    <phoneticPr fontId="2" type="noConversion"/>
  </si>
  <si>
    <t>id</t>
    <phoneticPr fontId="2" type="noConversion"/>
  </si>
  <si>
    <t>模式ID</t>
    <phoneticPr fontId="2" type="noConversion"/>
  </si>
  <si>
    <t>Stun</t>
    <phoneticPr fontId="2" type="noConversion"/>
  </si>
  <si>
    <t>晕</t>
    <phoneticPr fontId="2" type="noConversion"/>
  </si>
  <si>
    <t>名称</t>
    <phoneticPr fontId="3" type="noConversion"/>
  </si>
  <si>
    <t>ContinueEffect</t>
    <phoneticPr fontId="2" type="noConversion"/>
  </si>
  <si>
    <t>持续效果</t>
    <phoneticPr fontId="2" type="noConversion"/>
  </si>
  <si>
    <t>string</t>
    <phoneticPr fontId="2" type="noConversion"/>
  </si>
  <si>
    <t>添加BUFF效果</t>
    <phoneticPr fontId="2" type="noConversion"/>
  </si>
  <si>
    <t>[{"name":"dmg", "type":"int","des":"直接伤害的数值"}]</t>
    <phoneticPr fontId="2" type="noConversion"/>
  </si>
  <si>
    <t>Single</t>
    <phoneticPr fontId="2" type="noConversion"/>
  </si>
  <si>
    <t>Multi</t>
    <phoneticPr fontId="2" type="noConversion"/>
  </si>
  <si>
    <t>单个子弹</t>
    <phoneticPr fontId="2" type="noConversion"/>
  </si>
  <si>
    <t>多个子弹</t>
    <phoneticPr fontId="2" type="noConversion"/>
  </si>
  <si>
    <t>Arrow</t>
    <phoneticPr fontId="2" type="noConversion"/>
  </si>
  <si>
    <t>MultiArrow</t>
    <phoneticPr fontId="2" type="noConversion"/>
  </si>
  <si>
    <t>单支箭</t>
    <phoneticPr fontId="2" type="noConversion"/>
  </si>
  <si>
    <t>多支箭</t>
    <phoneticPr fontId="2" type="noConversion"/>
  </si>
  <si>
    <t>test</t>
    <phoneticPr fontId="3" type="noConversion"/>
  </si>
  <si>
    <t>[{"name":"duration", "type":"int", "des":"持续时间 单位：秒(s)"}, {"name":"buff", "type":"Pattern", "source":"BuffPattern", "des":"BUFF模式"}]</t>
    <phoneticPr fontId="2" type="noConversion"/>
  </si>
  <si>
    <t>[{"name":"fireBullet", "type":"Pattern", "source":"FireBulletPattern", "des":"发射子弹的模式"}]</t>
    <phoneticPr fontId="2" type="noConversion"/>
  </si>
  <si>
    <t>[{"name":"bullet", "type":"Pattern", "source":"BulletID", "des":"子弹ID"}]</t>
    <phoneticPr fontId="2" type="noConversion"/>
  </si>
  <si>
    <t>[{"name":"num", "type":"int", "des":"子弹数量"},{"name":"bullet", "type":"Pattern", "source":"BulletID", "des":"子弹ID"}]</t>
    <phoneticPr fontId="2" type="noConversion"/>
  </si>
  <si>
    <t>[{"name":"effects", "type":"Collection", "source":"SkillEffectPattern"}]</t>
    <phoneticPr fontId="2" type="noConversion"/>
  </si>
  <si>
    <t>[{"skillEff":2,"skillEffParam":{"dmg":"34"}},{"skillEff":2,"skillEffParam":{"dmg":"4"}}]</t>
  </si>
  <si>
    <t>[{"skillEff":2,"skillEffParam":{"dmg":"234"}},{"skillEff":1}]</t>
  </si>
  <si>
    <t>[{"skillEff":3,"skillEffParam":{"fireBullet":2,"fireBulletParam":{"num":"3","bullet":2}}}]</t>
  </si>
  <si>
    <t>[]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</si>
</sst>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宋体"/>
      <family val="2"/>
      <scheme val="minor"/>
    </font>
    <font>
      <sz val="9"/>
      <color theme="1"/>
      <name val="微软雅黑"/>
      <family val="2"/>
      <charset val="134"/>
    </font>
    <font>
      <sz val="9"/>
      <name val="宋体"/>
      <family val="3"/>
      <charset val="134"/>
      <scheme val="minor"/>
    </font>
    <font>
      <sz val="9"/>
      <name val="Tahoma"/>
      <family val="2"/>
      <charset val="134"/>
    </font>
    <font>
      <b/>
      <sz val="9"/>
      <color theme="1"/>
      <name val="微软雅黑"/>
      <family val="2"/>
      <charset val="134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rgb="FF000000"/>
      <name val="Microsoft YaHei UI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indexed="5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4" fillId="0" borderId="0" xfId="0" applyFont="1" applyBorder="1"/>
    <xf numFmtId="0" fontId="1" fillId="0" borderId="0" xfId="0" applyFont="1"/>
    <xf numFmtId="0" fontId="1" fillId="0" borderId="1" xfId="0" applyFont="1" applyBorder="1"/>
    <xf numFmtId="0" fontId="1" fillId="0" borderId="1" xfId="0" applyFont="1" applyBorder="1" applyAlignment="1">
      <alignment horizontal="center"/>
    </xf>
    <xf numFmtId="0" fontId="1" fillId="0" borderId="0" xfId="0" applyFont="1" applyAlignment="1">
      <alignment horizontal="center"/>
    </xf>
    <xf numFmtId="49" fontId="1" fillId="0" borderId="1" xfId="0" applyNumberFormat="1" applyFont="1" applyBorder="1" applyAlignment="1">
      <alignment horizontal="center"/>
    </xf>
    <xf numFmtId="0" fontId="1" fillId="0" borderId="2" xfId="0" applyFont="1" applyFill="1" applyBorder="1"/>
    <xf numFmtId="0" fontId="0" fillId="2" borderId="0" xfId="0" applyFill="1"/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685800</xdr:colOff>
          <xdr:row>2</xdr:row>
          <xdr:rowOff>0</xdr:rowOff>
        </xdr:from>
        <xdr:to>
          <xdr:col>11</xdr:col>
          <xdr:colOff>2905125</xdr:colOff>
          <xdr:row>3</xdr:row>
          <xdr:rowOff>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禁用工具箱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20"/>
  <sheetViews>
    <sheetView tabSelected="1" workbookViewId="0">
      <selection activeCell="L8" sqref="L8"/>
    </sheetView>
  </sheetViews>
  <sheetFormatPr defaultColWidth="63.875" defaultRowHeight="14.25" x14ac:dyDescent="0.3"/>
  <cols>
    <col min="1" max="1" width="6.25" style="2" bestFit="1" customWidth="1"/>
    <col min="2" max="3" width="10.5" style="2" bestFit="1" customWidth="1"/>
    <col min="4" max="4" width="8.25" style="2" bestFit="1" customWidth="1"/>
    <col min="5" max="5" width="10.5" style="2" bestFit="1" customWidth="1"/>
    <col min="6" max="6" width="13.375" style="2" bestFit="1" customWidth="1"/>
    <col min="7" max="7" width="7.5" style="5" bestFit="1" customWidth="1"/>
    <col min="8" max="8" width="7.5" style="2" bestFit="1" customWidth="1"/>
    <col min="9" max="10" width="6.25" style="2" bestFit="1" customWidth="1"/>
    <col min="11" max="11" width="7.875" style="2" bestFit="1" customWidth="1"/>
    <col min="12" max="12" width="73.5" style="2" customWidth="1"/>
    <col min="13" max="13" width="7.5" style="2" bestFit="1" customWidth="1"/>
    <col min="14" max="14" width="65.625" style="2" bestFit="1" customWidth="1"/>
    <col min="15" max="15" width="9.125" style="2" bestFit="1" customWidth="1"/>
    <col min="16" max="16" width="14.875" style="2" bestFit="1" customWidth="1"/>
    <col min="17" max="17" width="16.625" style="2" bestFit="1" customWidth="1"/>
    <col min="18" max="18" width="18.375" style="2" bestFit="1" customWidth="1"/>
    <col min="19" max="19" width="7.5" style="2" bestFit="1" customWidth="1"/>
    <col min="20" max="16384" width="63.875" style="2"/>
  </cols>
  <sheetData>
    <row r="1" spans="1:19" x14ac:dyDescent="0.3">
      <c r="A1" s="4" t="s">
        <v>0</v>
      </c>
      <c r="B1" s="3" t="s">
        <v>49</v>
      </c>
      <c r="C1" s="3"/>
      <c r="D1" s="3" t="s">
        <v>23</v>
      </c>
      <c r="E1" s="4" t="s">
        <v>27</v>
      </c>
      <c r="F1" s="3" t="s">
        <v>50</v>
      </c>
      <c r="G1" s="6" t="s">
        <v>50</v>
      </c>
      <c r="H1" s="3" t="s">
        <v>27</v>
      </c>
      <c r="I1" s="3" t="s">
        <v>32</v>
      </c>
      <c r="J1" s="3" t="s">
        <v>32</v>
      </c>
      <c r="K1" s="3" t="s">
        <v>27</v>
      </c>
      <c r="L1" s="3" t="s">
        <v>101</v>
      </c>
      <c r="M1" s="3" t="s">
        <v>32</v>
      </c>
      <c r="N1" s="3" t="s">
        <v>49</v>
      </c>
      <c r="O1" s="3" t="s">
        <v>7</v>
      </c>
      <c r="P1" s="3" t="s">
        <v>50</v>
      </c>
      <c r="Q1" s="3" t="s">
        <v>3</v>
      </c>
      <c r="R1" s="3" t="s">
        <v>3</v>
      </c>
      <c r="S1" s="3" t="s">
        <v>11</v>
      </c>
    </row>
    <row r="2" spans="1:19" x14ac:dyDescent="0.3">
      <c r="A2" s="4" t="s">
        <v>1</v>
      </c>
      <c r="B2" s="3" t="s">
        <v>51</v>
      </c>
      <c r="C2" s="3" t="s">
        <v>74</v>
      </c>
      <c r="D2" s="3" t="s">
        <v>24</v>
      </c>
      <c r="E2" s="4" t="s">
        <v>28</v>
      </c>
      <c r="F2" s="3" t="s">
        <v>52</v>
      </c>
      <c r="G2" s="6" t="s">
        <v>53</v>
      </c>
      <c r="H2" s="3" t="s">
        <v>42</v>
      </c>
      <c r="I2" s="3" t="s">
        <v>43</v>
      </c>
      <c r="J2" s="3" t="s">
        <v>44</v>
      </c>
      <c r="K2" s="3" t="s">
        <v>45</v>
      </c>
      <c r="L2" s="3" t="s">
        <v>88</v>
      </c>
      <c r="M2" s="3" t="s">
        <v>47</v>
      </c>
      <c r="N2" s="3" t="s">
        <v>54</v>
      </c>
      <c r="O2" s="3" t="s">
        <v>8</v>
      </c>
      <c r="P2" s="3" t="s">
        <v>55</v>
      </c>
      <c r="Q2" s="3" t="s">
        <v>10</v>
      </c>
      <c r="R2" s="3" t="s">
        <v>5</v>
      </c>
      <c r="S2" s="3" t="s">
        <v>12</v>
      </c>
    </row>
    <row r="3" spans="1:19" x14ac:dyDescent="0.3">
      <c r="A3" s="4" t="s">
        <v>14</v>
      </c>
      <c r="B3" s="3" t="s">
        <v>56</v>
      </c>
      <c r="C3" s="3"/>
      <c r="D3" s="3" t="s">
        <v>25</v>
      </c>
      <c r="E3" s="4" t="s">
        <v>29</v>
      </c>
      <c r="F3" s="3" t="s">
        <v>57</v>
      </c>
      <c r="G3" s="6" t="s">
        <v>58</v>
      </c>
      <c r="H3" s="3" t="s">
        <v>30</v>
      </c>
      <c r="I3" s="3" t="s">
        <v>31</v>
      </c>
      <c r="J3" s="3" t="s">
        <v>33</v>
      </c>
      <c r="K3" s="3" t="s">
        <v>46</v>
      </c>
      <c r="L3" s="3" t="s">
        <v>87</v>
      </c>
      <c r="M3" s="3" t="s">
        <v>34</v>
      </c>
      <c r="N3" s="3" t="s">
        <v>59</v>
      </c>
      <c r="O3" s="3" t="s">
        <v>9</v>
      </c>
      <c r="P3" s="3" t="s">
        <v>60</v>
      </c>
      <c r="Q3" s="3" t="s">
        <v>4</v>
      </c>
      <c r="R3" s="3" t="s">
        <v>6</v>
      </c>
      <c r="S3" s="3" t="s">
        <v>13</v>
      </c>
    </row>
    <row r="4" spans="1:19" x14ac:dyDescent="0.3">
      <c r="A4" s="5">
        <v>10001</v>
      </c>
      <c r="B4" s="2" t="s">
        <v>61</v>
      </c>
      <c r="D4" s="2">
        <v>2</v>
      </c>
      <c r="E4" s="5">
        <v>0</v>
      </c>
      <c r="F4" s="2" t="s">
        <v>62</v>
      </c>
      <c r="G4" s="5">
        <v>1</v>
      </c>
      <c r="H4" s="2">
        <v>30000</v>
      </c>
      <c r="I4" s="2">
        <v>0</v>
      </c>
      <c r="J4" s="2">
        <v>0</v>
      </c>
      <c r="K4" s="2">
        <v>1</v>
      </c>
      <c r="L4" s="2" t="s">
        <v>119</v>
      </c>
      <c r="M4" s="2">
        <v>0</v>
      </c>
      <c r="N4" s="2" t="s">
        <v>63</v>
      </c>
      <c r="O4" s="2">
        <v>0</v>
      </c>
      <c r="P4" s="2" t="s">
        <v>64</v>
      </c>
      <c r="Q4" s="2">
        <v>0.3</v>
      </c>
      <c r="R4" s="2">
        <v>0</v>
      </c>
      <c r="S4" s="2">
        <v>0</v>
      </c>
    </row>
    <row r="5" spans="1:19" x14ac:dyDescent="0.3">
      <c r="A5" s="5">
        <v>10002</v>
      </c>
      <c r="B5" s="2" t="s">
        <v>65</v>
      </c>
      <c r="D5" s="2">
        <v>2</v>
      </c>
      <c r="E5" s="5">
        <v>0</v>
      </c>
      <c r="F5" s="2" t="s">
        <v>66</v>
      </c>
      <c r="G5" s="5">
        <v>1</v>
      </c>
      <c r="H5" s="2">
        <v>30000</v>
      </c>
      <c r="I5" s="2">
        <v>0</v>
      </c>
      <c r="J5" s="2">
        <v>0</v>
      </c>
      <c r="K5" s="2">
        <v>2</v>
      </c>
      <c r="L5" s="2" t="s">
        <v>120</v>
      </c>
      <c r="M5" s="2">
        <v>10</v>
      </c>
      <c r="N5" s="2" t="s">
        <v>112</v>
      </c>
      <c r="O5" s="2">
        <v>10</v>
      </c>
      <c r="P5" s="2" t="s">
        <v>68</v>
      </c>
      <c r="Q5" s="2">
        <v>0.3</v>
      </c>
      <c r="R5" s="2">
        <v>0</v>
      </c>
      <c r="S5" s="2">
        <v>0</v>
      </c>
    </row>
    <row r="6" spans="1:19" x14ac:dyDescent="0.3">
      <c r="A6" s="5">
        <v>10003</v>
      </c>
      <c r="B6" s="2" t="s">
        <v>69</v>
      </c>
      <c r="C6" s="2" t="s">
        <v>75</v>
      </c>
      <c r="D6" s="2">
        <v>2</v>
      </c>
      <c r="E6" s="5">
        <v>0</v>
      </c>
      <c r="F6" s="2" t="s">
        <v>70</v>
      </c>
      <c r="G6" s="5">
        <v>13</v>
      </c>
      <c r="H6" s="2">
        <v>30000</v>
      </c>
      <c r="I6" s="2">
        <v>0</v>
      </c>
      <c r="J6" s="2">
        <v>0</v>
      </c>
      <c r="K6" s="2">
        <v>1</v>
      </c>
      <c r="L6" s="2" t="s">
        <v>118</v>
      </c>
      <c r="M6" s="2">
        <v>0</v>
      </c>
      <c r="N6" s="2" t="s">
        <v>67</v>
      </c>
      <c r="O6" s="2">
        <v>0</v>
      </c>
      <c r="P6" s="2" t="s">
        <v>68</v>
      </c>
      <c r="Q6" s="2">
        <v>0.2</v>
      </c>
      <c r="R6" s="2">
        <v>30</v>
      </c>
      <c r="S6" s="2">
        <v>10000</v>
      </c>
    </row>
    <row r="7" spans="1:19" x14ac:dyDescent="0.3">
      <c r="A7" s="5">
        <v>10004</v>
      </c>
      <c r="B7" s="2" t="s">
        <v>71</v>
      </c>
      <c r="C7" s="2" t="s">
        <v>79</v>
      </c>
      <c r="D7" s="2">
        <v>2</v>
      </c>
      <c r="E7" s="5">
        <v>0</v>
      </c>
      <c r="F7" s="2" t="s">
        <v>72</v>
      </c>
      <c r="G7" s="5">
        <v>1</v>
      </c>
      <c r="H7" s="2">
        <v>30000</v>
      </c>
      <c r="I7" s="2">
        <v>0</v>
      </c>
      <c r="J7" s="2">
        <v>0</v>
      </c>
      <c r="K7" s="2">
        <v>2</v>
      </c>
      <c r="L7" s="2" t="str">
        <f>T("[{'skillEff':1},{'skillEff':2,'skillEffParam':{'dmg':") &amp; SkillGrowth!A7&amp;T("}},{'skillEff':2,'skillEffParam':{'dmg':") &amp; SkillGrowth!B7&amp;T("}}]")</f>
        <v>[{'skillEff':1},{'skillEff':2,'skillEffParam':{'dmg':34}},{'skillEff':2,'skillEffParam':{'dmg':45}}]</v>
      </c>
      <c r="M7" s="2">
        <v>10</v>
      </c>
      <c r="N7" s="2" t="s">
        <v>67</v>
      </c>
      <c r="O7" s="2">
        <v>10</v>
      </c>
      <c r="P7" s="2" t="s">
        <v>68</v>
      </c>
      <c r="Q7" s="2">
        <v>0.2</v>
      </c>
      <c r="R7" s="2">
        <v>30</v>
      </c>
      <c r="S7" s="2">
        <v>10005</v>
      </c>
    </row>
    <row r="8" spans="1:19" x14ac:dyDescent="0.3">
      <c r="A8" s="5">
        <v>10005</v>
      </c>
      <c r="B8" s="2" t="s">
        <v>73</v>
      </c>
      <c r="C8" s="2" t="s">
        <v>78</v>
      </c>
      <c r="D8" s="2">
        <v>2</v>
      </c>
      <c r="E8" s="5">
        <v>0</v>
      </c>
      <c r="F8" s="2" t="s">
        <v>72</v>
      </c>
      <c r="G8" s="5">
        <v>1</v>
      </c>
      <c r="H8" s="2">
        <v>30000</v>
      </c>
      <c r="I8" s="2">
        <v>0</v>
      </c>
      <c r="J8" s="2">
        <v>0</v>
      </c>
      <c r="K8" s="2">
        <v>2</v>
      </c>
      <c r="L8" s="2" t="str">
        <f>T("[{'skillEff':3,'skillEffParam':{'fireBullet':2,'fireBulletParam':{'num':") &amp; SkillGrowth!A8&amp;T(",'bullet':1}}},{'skillEff':3,'skillEffParam':{'fireBullet':2,'fireBulletParam':{'num':") &amp; SkillGrowth!B8&amp;T(",'bullet':2}}}]")</f>
        <v>[{'skillEff':3,'skillEffParam':{'fireBullet':2,'fireBulletParam':{'num':4,'bullet':1}}},{'skillEff':3,'skillEffParam':{'fireBullet':2,'fireBulletParam':{'num':5,'bullet':2}}}]</v>
      </c>
      <c r="M8" s="2">
        <v>10</v>
      </c>
      <c r="N8" s="2" t="s">
        <v>67</v>
      </c>
      <c r="O8" s="2">
        <v>10</v>
      </c>
      <c r="P8" s="2" t="s">
        <v>68</v>
      </c>
      <c r="Q8" s="2">
        <v>0.2</v>
      </c>
      <c r="R8" s="2">
        <v>15</v>
      </c>
      <c r="S8" s="2">
        <v>10008</v>
      </c>
    </row>
    <row r="9" spans="1:19" x14ac:dyDescent="0.3">
      <c r="A9" s="5">
        <v>10006</v>
      </c>
      <c r="B9" s="2" t="s">
        <v>69</v>
      </c>
      <c r="C9" s="2" t="s">
        <v>77</v>
      </c>
      <c r="D9" s="2">
        <v>2</v>
      </c>
      <c r="E9" s="5">
        <v>0</v>
      </c>
      <c r="F9" s="2" t="s">
        <v>70</v>
      </c>
      <c r="G9" s="5">
        <v>1</v>
      </c>
      <c r="H9" s="2">
        <v>30000</v>
      </c>
      <c r="I9" s="2">
        <v>0</v>
      </c>
      <c r="J9" s="2">
        <v>0</v>
      </c>
      <c r="K9" s="2">
        <v>1</v>
      </c>
      <c r="L9" s="2" t="s">
        <v>121</v>
      </c>
      <c r="M9" s="2">
        <v>0</v>
      </c>
      <c r="N9" s="2" t="s">
        <v>67</v>
      </c>
      <c r="O9" s="2">
        <v>0</v>
      </c>
      <c r="P9" s="2" t="s">
        <v>68</v>
      </c>
      <c r="Q9" s="2">
        <v>0.2</v>
      </c>
      <c r="R9" s="2">
        <v>30</v>
      </c>
      <c r="S9" s="2">
        <v>10007</v>
      </c>
    </row>
    <row r="10" spans="1:19" x14ac:dyDescent="0.3">
      <c r="A10" s="5">
        <v>20000</v>
      </c>
      <c r="B10" s="2" t="s">
        <v>15</v>
      </c>
      <c r="D10" s="2">
        <v>2</v>
      </c>
      <c r="E10" s="5">
        <v>0</v>
      </c>
      <c r="F10" s="2" t="s">
        <v>26</v>
      </c>
      <c r="G10" s="5">
        <v>1</v>
      </c>
      <c r="H10" s="2">
        <v>30000</v>
      </c>
      <c r="I10" s="2">
        <v>0</v>
      </c>
      <c r="J10" s="2">
        <v>0</v>
      </c>
      <c r="K10" s="2">
        <v>1</v>
      </c>
      <c r="M10" s="2">
        <v>0</v>
      </c>
      <c r="N10" s="2" t="s">
        <v>35</v>
      </c>
      <c r="O10" s="2">
        <v>0</v>
      </c>
      <c r="P10" s="2" t="s">
        <v>2</v>
      </c>
      <c r="Q10" s="2">
        <v>0.2</v>
      </c>
      <c r="R10" s="2">
        <v>0</v>
      </c>
      <c r="S10" s="2">
        <v>0</v>
      </c>
    </row>
    <row r="11" spans="1:19" x14ac:dyDescent="0.3">
      <c r="A11" s="5">
        <v>20001</v>
      </c>
      <c r="B11" s="2" t="s">
        <v>16</v>
      </c>
      <c r="D11" s="2">
        <v>3</v>
      </c>
      <c r="E11" s="5">
        <v>3000</v>
      </c>
      <c r="F11" s="2" t="s">
        <v>26</v>
      </c>
      <c r="G11" s="5">
        <v>1</v>
      </c>
      <c r="H11" s="2">
        <v>30001</v>
      </c>
      <c r="I11" s="2">
        <v>0</v>
      </c>
      <c r="J11" s="2">
        <v>0</v>
      </c>
      <c r="K11" s="2">
        <v>1</v>
      </c>
      <c r="M11" s="2">
        <v>0</v>
      </c>
      <c r="N11" s="2" t="s">
        <v>36</v>
      </c>
      <c r="O11" s="2">
        <v>0</v>
      </c>
      <c r="P11" s="2" t="s">
        <v>2</v>
      </c>
      <c r="Q11" s="2">
        <v>0.2</v>
      </c>
      <c r="R11" s="2">
        <v>0</v>
      </c>
      <c r="S11" s="2">
        <v>0</v>
      </c>
    </row>
    <row r="12" spans="1:19" x14ac:dyDescent="0.3">
      <c r="A12" s="5">
        <v>20002</v>
      </c>
      <c r="B12" s="2" t="s">
        <v>17</v>
      </c>
      <c r="D12" s="2">
        <v>1</v>
      </c>
      <c r="E12" s="5">
        <v>0</v>
      </c>
      <c r="F12" s="2" t="s">
        <v>26</v>
      </c>
      <c r="G12" s="5">
        <v>1</v>
      </c>
      <c r="H12" s="2">
        <v>30002</v>
      </c>
      <c r="I12" s="2">
        <v>0</v>
      </c>
      <c r="J12" s="2">
        <v>0</v>
      </c>
      <c r="K12" s="2">
        <v>1</v>
      </c>
      <c r="M12" s="2">
        <v>0</v>
      </c>
      <c r="N12" s="2" t="s">
        <v>37</v>
      </c>
      <c r="O12" s="2">
        <v>0</v>
      </c>
      <c r="P12" s="2" t="s">
        <v>2</v>
      </c>
      <c r="Q12" s="2">
        <v>0.2</v>
      </c>
      <c r="R12" s="2">
        <v>0</v>
      </c>
      <c r="S12" s="2">
        <v>0</v>
      </c>
    </row>
    <row r="13" spans="1:19" x14ac:dyDescent="0.3">
      <c r="A13" s="5">
        <v>20003</v>
      </c>
      <c r="B13" s="2" t="s">
        <v>18</v>
      </c>
      <c r="D13" s="2">
        <v>4</v>
      </c>
      <c r="E13" s="5">
        <v>0</v>
      </c>
      <c r="F13" s="2" t="s">
        <v>26</v>
      </c>
      <c r="G13" s="5">
        <v>1</v>
      </c>
      <c r="H13" s="2">
        <v>30003</v>
      </c>
      <c r="I13" s="2">
        <v>0</v>
      </c>
      <c r="J13" s="2">
        <v>0</v>
      </c>
      <c r="K13" s="2">
        <v>2</v>
      </c>
      <c r="M13" s="2">
        <v>10</v>
      </c>
      <c r="N13" s="2" t="s">
        <v>76</v>
      </c>
      <c r="O13" s="2">
        <v>0</v>
      </c>
      <c r="P13" s="2" t="s">
        <v>2</v>
      </c>
      <c r="Q13" s="2">
        <v>0.2</v>
      </c>
      <c r="R13" s="2">
        <v>0</v>
      </c>
      <c r="S13" s="2">
        <v>0</v>
      </c>
    </row>
    <row r="14" spans="1:19" x14ac:dyDescent="0.3">
      <c r="A14" s="5">
        <v>20004</v>
      </c>
      <c r="B14" s="2" t="s">
        <v>19</v>
      </c>
      <c r="D14" s="2">
        <v>1</v>
      </c>
      <c r="E14" s="5">
        <v>0</v>
      </c>
      <c r="F14" s="2" t="s">
        <v>26</v>
      </c>
      <c r="G14" s="5">
        <v>1</v>
      </c>
      <c r="H14" s="2">
        <v>30004</v>
      </c>
      <c r="I14" s="2">
        <v>0</v>
      </c>
      <c r="J14" s="2">
        <v>0</v>
      </c>
      <c r="K14" s="2">
        <v>2</v>
      </c>
      <c r="M14" s="2">
        <v>10</v>
      </c>
      <c r="N14" s="2" t="s">
        <v>38</v>
      </c>
      <c r="O14" s="2">
        <v>0</v>
      </c>
      <c r="P14" s="2" t="s">
        <v>2</v>
      </c>
      <c r="Q14" s="2">
        <v>0.2</v>
      </c>
      <c r="R14" s="2">
        <v>0</v>
      </c>
      <c r="S14" s="2">
        <v>0</v>
      </c>
    </row>
    <row r="15" spans="1:19" x14ac:dyDescent="0.3">
      <c r="A15" s="5">
        <v>20005</v>
      </c>
      <c r="B15" s="2" t="s">
        <v>20</v>
      </c>
      <c r="D15" s="2">
        <v>1</v>
      </c>
      <c r="E15" s="5">
        <v>0</v>
      </c>
      <c r="F15" s="2" t="s">
        <v>26</v>
      </c>
      <c r="G15" s="5">
        <v>1</v>
      </c>
      <c r="H15" s="2">
        <v>30005</v>
      </c>
      <c r="I15" s="2">
        <v>0</v>
      </c>
      <c r="J15" s="2">
        <v>0</v>
      </c>
      <c r="K15" s="2">
        <v>1</v>
      </c>
      <c r="M15" s="2">
        <v>0</v>
      </c>
      <c r="N15" s="2" t="s">
        <v>39</v>
      </c>
      <c r="O15" s="2">
        <v>0</v>
      </c>
      <c r="P15" s="2" t="s">
        <v>2</v>
      </c>
      <c r="Q15" s="2">
        <v>0.2</v>
      </c>
      <c r="R15" s="2">
        <v>0</v>
      </c>
      <c r="S15" s="2">
        <v>0</v>
      </c>
    </row>
    <row r="16" spans="1:19" x14ac:dyDescent="0.3">
      <c r="A16" s="5">
        <v>20006</v>
      </c>
      <c r="B16" s="2" t="s">
        <v>21</v>
      </c>
      <c r="D16" s="2">
        <v>1</v>
      </c>
      <c r="E16" s="5">
        <v>0</v>
      </c>
      <c r="F16" s="2" t="s">
        <v>26</v>
      </c>
      <c r="G16" s="5">
        <v>1</v>
      </c>
      <c r="H16" s="2">
        <v>30006</v>
      </c>
      <c r="I16" s="2">
        <v>0</v>
      </c>
      <c r="J16" s="2">
        <v>0</v>
      </c>
      <c r="K16" s="2">
        <v>2</v>
      </c>
      <c r="M16" s="2">
        <v>10</v>
      </c>
      <c r="N16" s="2" t="s">
        <v>40</v>
      </c>
      <c r="O16" s="2">
        <v>0</v>
      </c>
      <c r="P16" s="2" t="s">
        <v>48</v>
      </c>
      <c r="Q16" s="2">
        <v>0.2</v>
      </c>
      <c r="R16" s="2">
        <v>0</v>
      </c>
      <c r="S16" s="2">
        <v>10006</v>
      </c>
    </row>
    <row r="17" spans="1:19" x14ac:dyDescent="0.3">
      <c r="A17" s="5">
        <v>20007</v>
      </c>
      <c r="B17" s="2" t="s">
        <v>22</v>
      </c>
      <c r="D17" s="2">
        <v>1</v>
      </c>
      <c r="E17" s="5">
        <v>0</v>
      </c>
      <c r="F17" s="2" t="s">
        <v>26</v>
      </c>
      <c r="G17" s="5">
        <v>1</v>
      </c>
      <c r="H17" s="2">
        <v>30007</v>
      </c>
      <c r="I17" s="2">
        <v>0</v>
      </c>
      <c r="J17" s="2">
        <v>0</v>
      </c>
      <c r="K17" s="2">
        <v>2</v>
      </c>
      <c r="M17" s="2">
        <v>10</v>
      </c>
      <c r="N17" s="2" t="s">
        <v>41</v>
      </c>
      <c r="O17" s="2">
        <v>0</v>
      </c>
      <c r="P17" s="2">
        <v>0</v>
      </c>
      <c r="Q17" s="2">
        <v>0.2</v>
      </c>
      <c r="R17" s="2">
        <v>0</v>
      </c>
      <c r="S17" s="2">
        <v>0</v>
      </c>
    </row>
    <row r="18" spans="1:19" x14ac:dyDescent="0.3">
      <c r="G18" s="5">
        <v>76</v>
      </c>
      <c r="M18" s="1"/>
      <c r="N18" s="1"/>
    </row>
    <row r="19" spans="1:19" x14ac:dyDescent="0.3">
      <c r="G19" s="5">
        <v>126</v>
      </c>
    </row>
    <row r="20" spans="1:19" x14ac:dyDescent="0.3">
      <c r="G20" s="5">
        <v>1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4" name="Check Box 10">
              <controlPr defaultSize="0" autoFill="0" autoLine="0" autoPict="0" macro="[0]!ToolSwitch_Click">
                <anchor moveWithCells="1">
                  <from>
                    <xdr:col>11</xdr:col>
                    <xdr:colOff>685800</xdr:colOff>
                    <xdr:row>2</xdr:row>
                    <xdr:rowOff>0</xdr:rowOff>
                  </from>
                  <to>
                    <xdr:col>11</xdr:col>
                    <xdr:colOff>2905125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2"/>
  <sheetViews>
    <sheetView topLeftCell="A13" workbookViewId="0">
      <selection activeCell="B2" sqref="B2"/>
    </sheetView>
  </sheetViews>
  <sheetFormatPr defaultRowHeight="13.5" x14ac:dyDescent="0.15"/>
  <cols>
    <col min="1" max="1" width="9.5" bestFit="1" customWidth="1"/>
    <col min="2" max="2" width="15" bestFit="1" customWidth="1"/>
  </cols>
  <sheetData>
    <row r="1" spans="1:5" x14ac:dyDescent="0.15">
      <c r="A1" t="str">
        <f>T(REPLACE("{""dmg"":""@1""}",FIND("""@1""","{""dmg"":""@1""}"),4,SkillGrowth!C2))</f>
        <v>{"dmg":15}</v>
      </c>
      <c r="B1" t="str">
        <f>T("jiaox99  -&gt;") &amp; SkillGrowth!C2</f>
        <v>jiaox99  -&gt;15</v>
      </c>
      <c r="E1">
        <v>5</v>
      </c>
    </row>
    <row r="2" spans="1:5" x14ac:dyDescent="0.15">
      <c r="A2" t="e">
        <f>FIND("jiaox99", "99", 1)</f>
        <v>#VALUE!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36"/>
  <sheetViews>
    <sheetView workbookViewId="0">
      <selection activeCell="A29" sqref="A29:A36"/>
    </sheetView>
  </sheetViews>
  <sheetFormatPr defaultRowHeight="13.5" x14ac:dyDescent="0.15"/>
  <sheetData>
    <row r="1" spans="1:3" x14ac:dyDescent="0.15">
      <c r="A1">
        <v>15</v>
      </c>
      <c r="B1">
        <v>15</v>
      </c>
      <c r="C1">
        <v>15</v>
      </c>
    </row>
    <row r="2" spans="1:3" x14ac:dyDescent="0.15">
      <c r="A2">
        <v>15</v>
      </c>
      <c r="B2">
        <v>15</v>
      </c>
      <c r="C2">
        <v>15</v>
      </c>
    </row>
    <row r="7" spans="1:3" x14ac:dyDescent="0.15">
      <c r="A7" s="8">
        <v>34</v>
      </c>
      <c r="B7" s="8">
        <v>45</v>
      </c>
    </row>
    <row r="8" spans="1:3" x14ac:dyDescent="0.15">
      <c r="A8" s="8">
        <v>4</v>
      </c>
      <c r="B8" s="8">
        <v>5</v>
      </c>
    </row>
    <row r="26" spans="1:3" x14ac:dyDescent="0.15">
      <c r="A26">
        <v>18</v>
      </c>
    </row>
    <row r="29" spans="1:3" x14ac:dyDescent="0.15">
      <c r="A29">
        <v>15</v>
      </c>
    </row>
    <row r="30" spans="1:3" x14ac:dyDescent="0.15">
      <c r="A30" s="8">
        <v>16</v>
      </c>
    </row>
    <row r="31" spans="1:3" x14ac:dyDescent="0.15">
      <c r="A31">
        <v>17</v>
      </c>
      <c r="B31" s="8">
        <v>17</v>
      </c>
      <c r="C31" s="8">
        <v>5</v>
      </c>
    </row>
    <row r="32" spans="1:3" x14ac:dyDescent="0.15">
      <c r="A32">
        <v>18</v>
      </c>
    </row>
    <row r="33" spans="1:1" x14ac:dyDescent="0.15">
      <c r="A33">
        <v>19</v>
      </c>
    </row>
    <row r="34" spans="1:1" x14ac:dyDescent="0.15">
      <c r="A34">
        <v>20</v>
      </c>
    </row>
    <row r="35" spans="1:1" x14ac:dyDescent="0.15">
      <c r="A35">
        <v>21</v>
      </c>
    </row>
    <row r="36" spans="1:1" x14ac:dyDescent="0.15">
      <c r="A36">
        <v>22</v>
      </c>
    </row>
  </sheetData>
  <phoneticPr fontId="2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7"/>
  <sheetViews>
    <sheetView workbookViewId="0">
      <selection activeCell="D6" sqref="D6"/>
    </sheetView>
  </sheetViews>
  <sheetFormatPr defaultRowHeight="13.5" x14ac:dyDescent="0.15"/>
  <cols>
    <col min="2" max="2" width="12.125" bestFit="1" customWidth="1"/>
    <col min="3" max="3" width="24.375" bestFit="1" customWidth="1"/>
    <col min="4" max="4" width="109.25" bestFit="1" customWidth="1"/>
  </cols>
  <sheetData>
    <row r="1" spans="1:4" ht="15.75" x14ac:dyDescent="0.3">
      <c r="A1" s="4" t="s">
        <v>0</v>
      </c>
      <c r="B1" s="3" t="s">
        <v>49</v>
      </c>
      <c r="C1" s="3" t="s">
        <v>82</v>
      </c>
      <c r="D1" t="s">
        <v>82</v>
      </c>
    </row>
    <row r="2" spans="1:4" ht="15.75" x14ac:dyDescent="0.3">
      <c r="A2" s="4" t="s">
        <v>1</v>
      </c>
      <c r="B2" s="3" t="s">
        <v>51</v>
      </c>
      <c r="C2" s="3" t="s">
        <v>74</v>
      </c>
      <c r="D2" t="s">
        <v>84</v>
      </c>
    </row>
    <row r="3" spans="1:4" ht="15.75" x14ac:dyDescent="0.3">
      <c r="A3" s="4" t="s">
        <v>93</v>
      </c>
      <c r="B3" s="3" t="s">
        <v>56</v>
      </c>
      <c r="C3" s="3" t="s">
        <v>81</v>
      </c>
      <c r="D3" t="s">
        <v>83</v>
      </c>
    </row>
    <row r="4" spans="1:4" ht="15.75" x14ac:dyDescent="0.3">
      <c r="A4">
        <v>1001</v>
      </c>
      <c r="B4" s="7" t="s">
        <v>85</v>
      </c>
      <c r="C4" s="7" t="s">
        <v>86</v>
      </c>
    </row>
    <row r="5" spans="1:4" ht="15.75" x14ac:dyDescent="0.3">
      <c r="A5">
        <v>1002</v>
      </c>
      <c r="B5" s="7" t="s">
        <v>80</v>
      </c>
      <c r="C5" s="7" t="s">
        <v>91</v>
      </c>
      <c r="D5" t="s">
        <v>103</v>
      </c>
    </row>
    <row r="6" spans="1:4" ht="15.75" x14ac:dyDescent="0.3">
      <c r="A6">
        <v>1003</v>
      </c>
      <c r="B6" s="7" t="s">
        <v>89</v>
      </c>
      <c r="C6" s="7" t="s">
        <v>90</v>
      </c>
      <c r="D6" t="s">
        <v>114</v>
      </c>
    </row>
    <row r="7" spans="1:4" ht="15.75" x14ac:dyDescent="0.3">
      <c r="A7">
        <v>1004</v>
      </c>
      <c r="B7" s="7" t="s">
        <v>92</v>
      </c>
      <c r="C7" s="7" t="s">
        <v>102</v>
      </c>
      <c r="D7" t="s">
        <v>113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5"/>
  <sheetViews>
    <sheetView workbookViewId="0">
      <selection activeCell="D6" sqref="D6"/>
    </sheetView>
  </sheetViews>
  <sheetFormatPr defaultRowHeight="13.5" x14ac:dyDescent="0.15"/>
  <cols>
    <col min="4" max="4" width="33.875" bestFit="1" customWidth="1"/>
  </cols>
  <sheetData>
    <row r="1" spans="1:4" ht="15.75" x14ac:dyDescent="0.3">
      <c r="A1" s="4" t="s">
        <v>0</v>
      </c>
      <c r="B1" s="3" t="s">
        <v>49</v>
      </c>
      <c r="C1" s="3" t="s">
        <v>82</v>
      </c>
      <c r="D1" t="s">
        <v>82</v>
      </c>
    </row>
    <row r="2" spans="1:4" ht="15.75" x14ac:dyDescent="0.3">
      <c r="A2" s="4" t="s">
        <v>95</v>
      </c>
      <c r="B2" s="3" t="s">
        <v>98</v>
      </c>
      <c r="C2" s="3" t="s">
        <v>74</v>
      </c>
      <c r="D2" t="s">
        <v>84</v>
      </c>
    </row>
    <row r="3" spans="1:4" ht="15.75" x14ac:dyDescent="0.3">
      <c r="A3" s="4" t="s">
        <v>94</v>
      </c>
      <c r="B3" s="3" t="s">
        <v>56</v>
      </c>
      <c r="C3" s="3" t="s">
        <v>81</v>
      </c>
      <c r="D3" t="s">
        <v>83</v>
      </c>
    </row>
    <row r="4" spans="1:4" ht="15.75" x14ac:dyDescent="0.3">
      <c r="A4">
        <v>1</v>
      </c>
      <c r="B4" s="7" t="s">
        <v>104</v>
      </c>
      <c r="C4" s="7" t="s">
        <v>106</v>
      </c>
      <c r="D4" t="s">
        <v>115</v>
      </c>
    </row>
    <row r="5" spans="1:4" ht="15.75" x14ac:dyDescent="0.3">
      <c r="A5">
        <v>2</v>
      </c>
      <c r="B5" s="7" t="s">
        <v>105</v>
      </c>
      <c r="C5" s="7" t="s">
        <v>107</v>
      </c>
      <c r="D5" t="s">
        <v>116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5"/>
  <sheetViews>
    <sheetView workbookViewId="0">
      <selection activeCell="D6" sqref="D6"/>
    </sheetView>
  </sheetViews>
  <sheetFormatPr defaultRowHeight="13.5" x14ac:dyDescent="0.15"/>
  <cols>
    <col min="2" max="2" width="11.75" bestFit="1" customWidth="1"/>
    <col min="4" max="4" width="81.5" bestFit="1" customWidth="1"/>
  </cols>
  <sheetData>
    <row r="1" spans="1:4" ht="15.75" x14ac:dyDescent="0.3">
      <c r="A1" s="4" t="s">
        <v>0</v>
      </c>
      <c r="B1" s="3" t="s">
        <v>49</v>
      </c>
      <c r="C1" s="3" t="s">
        <v>82</v>
      </c>
      <c r="D1" t="s">
        <v>82</v>
      </c>
    </row>
    <row r="2" spans="1:4" ht="15.75" x14ac:dyDescent="0.3">
      <c r="A2" s="4" t="s">
        <v>95</v>
      </c>
      <c r="B2" s="3" t="s">
        <v>51</v>
      </c>
      <c r="C2" s="3" t="s">
        <v>74</v>
      </c>
      <c r="D2" t="s">
        <v>84</v>
      </c>
    </row>
    <row r="3" spans="1:4" ht="15.75" x14ac:dyDescent="0.3">
      <c r="A3" s="4" t="s">
        <v>94</v>
      </c>
      <c r="B3" s="3" t="s">
        <v>56</v>
      </c>
      <c r="C3" s="3" t="s">
        <v>81</v>
      </c>
      <c r="D3" t="s">
        <v>83</v>
      </c>
    </row>
    <row r="4" spans="1:4" ht="15.75" x14ac:dyDescent="0.3">
      <c r="A4">
        <v>1001</v>
      </c>
      <c r="B4" s="7" t="s">
        <v>96</v>
      </c>
      <c r="C4" s="7" t="s">
        <v>97</v>
      </c>
    </row>
    <row r="5" spans="1:4" ht="15.75" x14ac:dyDescent="0.3">
      <c r="A5">
        <v>1002</v>
      </c>
      <c r="B5" s="7" t="s">
        <v>99</v>
      </c>
      <c r="C5" s="7" t="s">
        <v>100</v>
      </c>
      <c r="D5" t="s">
        <v>117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5"/>
  <sheetViews>
    <sheetView workbookViewId="0">
      <selection activeCell="D5" sqref="D5"/>
    </sheetView>
  </sheetViews>
  <sheetFormatPr defaultRowHeight="13.5" x14ac:dyDescent="0.15"/>
  <sheetData>
    <row r="1" spans="1:4" ht="15.75" x14ac:dyDescent="0.3">
      <c r="A1" s="4" t="s">
        <v>0</v>
      </c>
      <c r="B1" s="3" t="s">
        <v>49</v>
      </c>
      <c r="C1" s="3" t="s">
        <v>82</v>
      </c>
      <c r="D1" t="s">
        <v>82</v>
      </c>
    </row>
    <row r="2" spans="1:4" ht="15.75" x14ac:dyDescent="0.3">
      <c r="A2" s="4" t="s">
        <v>95</v>
      </c>
      <c r="B2" s="3" t="s">
        <v>51</v>
      </c>
      <c r="C2" s="3" t="s">
        <v>74</v>
      </c>
      <c r="D2" t="s">
        <v>84</v>
      </c>
    </row>
    <row r="3" spans="1:4" ht="15.75" x14ac:dyDescent="0.3">
      <c r="A3" s="4" t="s">
        <v>93</v>
      </c>
      <c r="B3" s="3" t="s">
        <v>56</v>
      </c>
      <c r="C3" s="3" t="s">
        <v>81</v>
      </c>
      <c r="D3" t="s">
        <v>83</v>
      </c>
    </row>
    <row r="4" spans="1:4" ht="15.75" x14ac:dyDescent="0.3">
      <c r="A4">
        <v>1001</v>
      </c>
      <c r="B4" s="7" t="s">
        <v>108</v>
      </c>
      <c r="C4" s="7" t="s">
        <v>110</v>
      </c>
    </row>
    <row r="5" spans="1:4" ht="15.75" x14ac:dyDescent="0.3">
      <c r="A5">
        <v>1002</v>
      </c>
      <c r="B5" s="7" t="s">
        <v>109</v>
      </c>
      <c r="C5" s="7" t="s">
        <v>111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skill</vt:lpstr>
      <vt:lpstr>Sheet2</vt:lpstr>
      <vt:lpstr>SkillGrowth</vt:lpstr>
      <vt:lpstr>SkillEffectPattern</vt:lpstr>
      <vt:lpstr>FireBulletPattern</vt:lpstr>
      <vt:lpstr>BuffPattern</vt:lpstr>
      <vt:lpstr>BulletID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2017-04-18T12:01:18Z</dcterms:modified>
</cp:coreProperties>
</file>